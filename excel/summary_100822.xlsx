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fifa2026\"/>
    </mc:Choice>
  </mc:AlternateContent>
  <bookViews>
    <workbookView xWindow="0" yWindow="0" windowWidth="15345" windowHeight="4545"/>
  </bookViews>
  <sheets>
    <sheet name="odds vs actual gap" sheetId="1" r:id="rId1"/>
  </sheets>
  <calcPr calcId="152511"/>
  <pivotCaches>
    <pivotCache cacheId="0" r:id="rId2"/>
  </pivotCaches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" i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<sst xmlns="http://schemas.openxmlformats.org/spreadsheetml/2006/main" count="94" uniqueCount="42">
  <si>
    <t>team</t>
  </si>
  <si>
    <t>implied_probability_pct</t>
  </si>
  <si>
    <t>points</t>
  </si>
  <si>
    <t>goal_difference</t>
  </si>
  <si>
    <t>odds_rank</t>
  </si>
  <si>
    <t>actual_rank</t>
  </si>
  <si>
    <t>rank_gap</t>
  </si>
  <si>
    <t>Canada</t>
  </si>
  <si>
    <t>Mexico</t>
  </si>
  <si>
    <t>USA</t>
  </si>
  <si>
    <t>Switzerland</t>
  </si>
  <si>
    <t>Austria</t>
  </si>
  <si>
    <t>Japan</t>
  </si>
  <si>
    <t>Paraguay</t>
  </si>
  <si>
    <t>Germany</t>
  </si>
  <si>
    <t>Sweden</t>
  </si>
  <si>
    <t>Ivory Coast</t>
  </si>
  <si>
    <t>Egypt</t>
  </si>
  <si>
    <t>Netherlands</t>
  </si>
  <si>
    <t>Morocco</t>
  </si>
  <si>
    <t>Norway</t>
  </si>
  <si>
    <t>Colombia</t>
  </si>
  <si>
    <t>Spain</t>
  </si>
  <si>
    <t>Brazil</t>
  </si>
  <si>
    <t>Ecuador</t>
  </si>
  <si>
    <t>Senegal</t>
  </si>
  <si>
    <t>Argentina</t>
  </si>
  <si>
    <t>Uruguay</t>
  </si>
  <si>
    <t>Croatia</t>
  </si>
  <si>
    <t>Turkiye</t>
  </si>
  <si>
    <t>England</t>
  </si>
  <si>
    <t>France</t>
  </si>
  <si>
    <t>Belgium</t>
  </si>
  <si>
    <t>Portugal</t>
  </si>
  <si>
    <t>Row Labels</t>
  </si>
  <si>
    <t>Grand Total</t>
  </si>
  <si>
    <t>Sum of odds_rank</t>
  </si>
  <si>
    <t>Sum of actual_rank</t>
  </si>
  <si>
    <t>Sum of rank_gap</t>
  </si>
  <si>
    <t>performance</t>
  </si>
  <si>
    <t>underperformer</t>
  </si>
  <si>
    <t>overperformer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</si>
</sst>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Who's Beating the World Cup 2026 Odds?</a:t>
            </a:r>
            <a:r>
              <a:rPr lang="en-US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650675842553176E-2"/>
          <c:y val="8.8618113868086976E-2"/>
          <c:w val="0.9308931838065696"/>
          <c:h val="0.7870612764681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'odds vs actual gap'!$G$1</c:f>
              <c:strCache>
                <c:ptCount val="1"/>
                <c:pt idx="0">
                  <c:v>rank_gap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'odds vs actual gap'!$A$2:$A$28</c:f>
              <c:strCache>
                <c:ptCount val="27"/>
                <c:pt idx="0">
                  <c:v>Canada</c:v>
                </c:pt>
                <c:pt idx="1">
                  <c:v>Mexico</c:v>
                </c:pt>
                <c:pt idx="2">
                  <c:v>USA</c:v>
                </c:pt>
                <c:pt idx="3">
                  <c:v>Switzerland</c:v>
                </c:pt>
                <c:pt idx="4">
                  <c:v>Austria</c:v>
                </c:pt>
                <c:pt idx="5">
                  <c:v>Japan</c:v>
                </c:pt>
                <c:pt idx="6">
                  <c:v>Paraguay</c:v>
                </c:pt>
                <c:pt idx="7">
                  <c:v>Germany</c:v>
                </c:pt>
                <c:pt idx="8">
                  <c:v>Sweden</c:v>
                </c:pt>
                <c:pt idx="9">
                  <c:v>Ivory Coast</c:v>
                </c:pt>
                <c:pt idx="10">
                  <c:v>Egypt</c:v>
                </c:pt>
                <c:pt idx="11">
                  <c:v>Netherlands</c:v>
                </c:pt>
                <c:pt idx="12">
                  <c:v>Morocco</c:v>
                </c:pt>
                <c:pt idx="13">
                  <c:v>Norway</c:v>
                </c:pt>
                <c:pt idx="14">
                  <c:v>Colombia</c:v>
                </c:pt>
                <c:pt idx="15">
                  <c:v>Spain</c:v>
                </c:pt>
                <c:pt idx="16">
                  <c:v>Brazil</c:v>
                </c:pt>
                <c:pt idx="17">
                  <c:v>Ecuador</c:v>
                </c:pt>
                <c:pt idx="18">
                  <c:v>Senegal</c:v>
                </c:pt>
                <c:pt idx="19">
                  <c:v>Argentina</c:v>
                </c:pt>
                <c:pt idx="20">
                  <c:v>Uruguay</c:v>
                </c:pt>
                <c:pt idx="21">
                  <c:v>Croatia</c:v>
                </c:pt>
                <c:pt idx="22">
                  <c:v>Turkiye</c:v>
                </c:pt>
                <c:pt idx="23">
                  <c:v>England</c:v>
                </c:pt>
                <c:pt idx="24">
                  <c:v>France</c:v>
                </c:pt>
                <c:pt idx="25">
                  <c:v>Belgium</c:v>
                </c:pt>
                <c:pt idx="26">
                  <c:v>Portugal</c:v>
                </c:pt>
              </c:strCache>
            </c:strRef>
          </c:cat>
          <c:val>
            <c:numRef>
              <c:f>'odds vs actual gap'!$G$2:$G$28</c:f>
              <c:numCache>
                <c:formatCode>General</c:formatCode>
                <c:ptCount val="27"/>
                <c:pt idx="0">
                  <c:v>19</c:v>
                </c:pt>
                <c:pt idx="1">
                  <c:v>13</c:v>
                </c:pt>
                <c:pt idx="2">
                  <c:v>11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  <c:pt idx="12">
                  <c:v>3</c:v>
                </c:pt>
                <c:pt idx="13">
                  <c:v>-1</c:v>
                </c:pt>
                <c:pt idx="14">
                  <c:v>-2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-6</c:v>
                </c:pt>
                <c:pt idx="20">
                  <c:v>-7</c:v>
                </c:pt>
                <c:pt idx="21">
                  <c:v>-7</c:v>
                </c:pt>
                <c:pt idx="22">
                  <c:v>-8</c:v>
                </c:pt>
                <c:pt idx="23">
                  <c:v>-10</c:v>
                </c:pt>
                <c:pt idx="24">
                  <c:v>-11</c:v>
                </c:pt>
                <c:pt idx="25">
                  <c:v>-11</c:v>
                </c:pt>
                <c:pt idx="26">
                  <c:v>-17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1430728"/>
        <c:axId val="211161248"/>
      </c:barChart>
      <c:catAx>
        <c:axId val="25143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61248"/>
        <c:crosses val="autoZero"/>
        <c:auto val="1"/>
        <c:lblAlgn val="ctr"/>
        <c:lblOffset val="100"/>
        <c:noMultiLvlLbl val="0"/>
      </c:catAx>
      <c:valAx>
        <c:axId val="2111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430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1000124</xdr:colOff>
      <xdr:row>0</xdr:row>
      <xdr:rowOff>76200</xdr:rowOff>
    </xdr:from>
    <xdr:to>
      <xdr:col>18</xdr:col>
      <xdr:colOff>152400</xdr:colOff>
      <xdr:row>20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wner" refreshedDate="46196.377294907405" createdVersion="5" refreshedVersion="5" minRefreshableVersion="3" recordCount="27">
  <cacheSource type="worksheet">
    <worksheetSource ref="A1:H28" sheet="odds vs actual gap"/>
  </cacheSource>
  <cacheFields count="8">
    <cacheField name="team" numFmtId="0">
      <sharedItems count="27">
        <s v="Canada"/>
        <s v="Mexico"/>
        <s v="USA"/>
        <s v="Switzerland"/>
        <s v="Austria"/>
        <s v="Japan"/>
        <s v="Paraguay"/>
        <s v="Germany"/>
        <s v="Sweden"/>
        <s v="Ivory Coast"/>
        <s v="Egypt"/>
        <s v="Netherlands"/>
        <s v="Morocco"/>
        <s v="Norway"/>
        <s v="Colombia"/>
        <s v="Spain"/>
        <s v="Brazil"/>
        <s v="Ecuador"/>
        <s v="Senegal"/>
        <s v="Argentina"/>
        <s v="Uruguay"/>
        <s v="Croatia"/>
        <s v="Turkiye"/>
        <s v="England"/>
        <s v="France"/>
        <s v="Belgium"/>
        <s v="Portugal"/>
      </sharedItems>
    </cacheField>
    <cacheField name="implied_probability_pct" numFmtId="0">
      <sharedItems containsSemiMixedTypes="0" containsString="0" containsNumber="1" minValue="0.4" maxValue="19.23"/>
    </cacheField>
    <cacheField name="points" numFmtId="0">
      <sharedItems containsSemiMixedTypes="0" containsString="0" containsNumber="1" containsInteger="1" minValue="0" maxValue="6"/>
    </cacheField>
    <cacheField name="goal_difference" numFmtId="0">
      <sharedItems containsSemiMixedTypes="0" containsString="0" containsNumber="1" containsInteger="1" minValue="-3" maxValue="7"/>
    </cacheField>
    <cacheField name="odds_rank" numFmtId="0">
      <sharedItems containsSemiMixedTypes="0" containsString="0" containsNumber="1" containsInteger="1" minValue="1" maxValue="27"/>
    </cacheField>
    <cacheField name="actual_rank" numFmtId="0">
      <sharedItems containsSemiMixedTypes="0" containsString="0" containsNumber="1" containsInteger="1" minValue="1" maxValue="27"/>
    </cacheField>
    <cacheField name="rank_gap" numFmtId="0">
      <sharedItems containsSemiMixedTypes="0" containsString="0" containsNumber="1" containsInteger="1" minValue="-17" maxValue="19"/>
    </cacheField>
    <cacheField name="performance" numFmtId="0">
      <sharedItems count="2">
        <s v="overperformer"/>
        <s v="underperfor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n v="0.56999999999999995"/>
    <n v="4"/>
    <n v="6"/>
    <n v="23"/>
    <n v="4"/>
    <n v="19"/>
    <x v="0"/>
  </r>
  <r>
    <x v="1"/>
    <n v="1.52"/>
    <n v="6"/>
    <n v="3"/>
    <n v="16"/>
    <n v="3"/>
    <n v="13"/>
    <x v="0"/>
  </r>
  <r>
    <x v="2"/>
    <n v="1.64"/>
    <n v="6"/>
    <n v="5"/>
    <n v="13"/>
    <n v="2"/>
    <n v="11"/>
    <x v="0"/>
  </r>
  <r>
    <x v="3"/>
    <n v="1.52"/>
    <n v="4"/>
    <n v="3"/>
    <n v="16"/>
    <n v="8"/>
    <n v="8"/>
    <x v="0"/>
  </r>
  <r>
    <x v="4"/>
    <n v="0.79"/>
    <n v="3"/>
    <n v="2"/>
    <n v="21"/>
    <n v="13"/>
    <n v="8"/>
    <x v="0"/>
  </r>
  <r>
    <x v="5"/>
    <n v="2.17"/>
    <n v="4"/>
    <n v="4"/>
    <n v="12"/>
    <n v="5"/>
    <n v="7"/>
    <x v="0"/>
  </r>
  <r>
    <x v="6"/>
    <n v="0.5"/>
    <n v="3"/>
    <n v="-2"/>
    <n v="26"/>
    <n v="19"/>
    <n v="7"/>
    <x v="0"/>
  </r>
  <r>
    <x v="7"/>
    <n v="7.14"/>
    <n v="6"/>
    <n v="7"/>
    <n v="7"/>
    <n v="1"/>
    <n v="6"/>
    <x v="0"/>
  </r>
  <r>
    <x v="8"/>
    <n v="0.56999999999999995"/>
    <n v="3"/>
    <n v="0"/>
    <n v="23"/>
    <n v="17"/>
    <n v="6"/>
    <x v="0"/>
  </r>
  <r>
    <x v="9"/>
    <n v="0.56999999999999995"/>
    <n v="3"/>
    <n v="0"/>
    <n v="23"/>
    <n v="17"/>
    <n v="6"/>
    <x v="0"/>
  </r>
  <r>
    <x v="10"/>
    <n v="0.4"/>
    <n v="1"/>
    <n v="0"/>
    <n v="27"/>
    <n v="22"/>
    <n v="5"/>
    <x v="0"/>
  </r>
  <r>
    <x v="11"/>
    <n v="5.88"/>
    <n v="4"/>
    <n v="4"/>
    <n v="8"/>
    <n v="5"/>
    <n v="3"/>
    <x v="0"/>
  </r>
  <r>
    <x v="12"/>
    <n v="1.64"/>
    <n v="4"/>
    <n v="1"/>
    <n v="13"/>
    <n v="10"/>
    <n v="3"/>
    <x v="0"/>
  </r>
  <r>
    <x v="13"/>
    <n v="2.78"/>
    <n v="3"/>
    <n v="3"/>
    <n v="10"/>
    <n v="11"/>
    <n v="-1"/>
    <x v="1"/>
  </r>
  <r>
    <x v="14"/>
    <n v="2.44"/>
    <n v="3"/>
    <n v="2"/>
    <n v="11"/>
    <n v="13"/>
    <n v="-2"/>
    <x v="1"/>
  </r>
  <r>
    <x v="15"/>
    <n v="19.23"/>
    <n v="4"/>
    <n v="4"/>
    <n v="1"/>
    <n v="5"/>
    <n v="-4"/>
    <x v="1"/>
  </r>
  <r>
    <x v="16"/>
    <n v="10.53"/>
    <n v="4"/>
    <n v="3"/>
    <n v="4"/>
    <n v="8"/>
    <n v="-4"/>
    <x v="1"/>
  </r>
  <r>
    <x v="17"/>
    <n v="0.99"/>
    <n v="1"/>
    <n v="-1"/>
    <n v="20"/>
    <n v="24"/>
    <n v="-4"/>
    <x v="1"/>
  </r>
  <r>
    <x v="18"/>
    <n v="0.79"/>
    <n v="0"/>
    <n v="-2"/>
    <n v="21"/>
    <n v="25"/>
    <n v="-4"/>
    <x v="1"/>
  </r>
  <r>
    <x v="19"/>
    <n v="9.09"/>
    <n v="3"/>
    <n v="3"/>
    <n v="5"/>
    <n v="11"/>
    <n v="-6"/>
    <x v="1"/>
  </r>
  <r>
    <x v="20"/>
    <n v="1.64"/>
    <n v="2"/>
    <n v="0"/>
    <n v="13"/>
    <n v="20"/>
    <n v="-7"/>
    <x v="1"/>
  </r>
  <r>
    <x v="21"/>
    <n v="1.41"/>
    <n v="0"/>
    <n v="-2"/>
    <n v="18"/>
    <n v="25"/>
    <n v="-7"/>
    <x v="1"/>
  </r>
  <r>
    <x v="22"/>
    <n v="1.23"/>
    <n v="0"/>
    <n v="-3"/>
    <n v="19"/>
    <n v="27"/>
    <n v="-8"/>
    <x v="1"/>
  </r>
  <r>
    <x v="23"/>
    <n v="13.33"/>
    <n v="3"/>
    <n v="2"/>
    <n v="3"/>
    <n v="13"/>
    <n v="-10"/>
    <x v="1"/>
  </r>
  <r>
    <x v="24"/>
    <n v="17.86"/>
    <n v="3"/>
    <n v="2"/>
    <n v="2"/>
    <n v="13"/>
    <n v="-11"/>
    <x v="1"/>
  </r>
  <r>
    <x v="25"/>
    <n v="4.3499999999999996"/>
    <n v="2"/>
    <n v="0"/>
    <n v="9"/>
    <n v="20"/>
    <n v="-11"/>
    <x v="1"/>
  </r>
  <r>
    <x v="26"/>
    <n v="9.09"/>
    <n v="1"/>
    <n v="0"/>
    <n v="5"/>
    <n v="22"/>
    <n v="-1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24:L79" firstHeaderRow="0" firstDataRow="1" firstDataCol="1"/>
  <pivotFields count="8">
    <pivotField axis="axisRow" showAll="0">
      <items count="28">
        <item x="19"/>
        <item x="4"/>
        <item x="25"/>
        <item x="16"/>
        <item x="0"/>
        <item x="14"/>
        <item x="21"/>
        <item x="17"/>
        <item x="10"/>
        <item x="23"/>
        <item x="24"/>
        <item x="7"/>
        <item x="9"/>
        <item x="5"/>
        <item x="1"/>
        <item x="12"/>
        <item x="11"/>
        <item x="13"/>
        <item x="6"/>
        <item x="26"/>
        <item x="18"/>
        <item x="15"/>
        <item x="8"/>
        <item x="3"/>
        <item x="22"/>
        <item x="20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7"/>
  </rowFields>
  <rowItems count="55">
    <i>
      <x/>
    </i>
    <i r="1">
      <x v="1"/>
    </i>
    <i>
      <x v="1"/>
    </i>
    <i r="1">
      <x/>
    </i>
    <i>
      <x v="2"/>
    </i>
    <i r="1">
      <x v="1"/>
    </i>
    <i>
      <x v="3"/>
    </i>
    <i r="1">
      <x v="1"/>
    </i>
    <i>
      <x v="4"/>
    </i>
    <i r="1">
      <x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/>
    </i>
    <i>
      <x v="9"/>
    </i>
    <i r="1">
      <x v="1"/>
    </i>
    <i>
      <x v="10"/>
    </i>
    <i r="1">
      <x v="1"/>
    </i>
    <i>
      <x v="11"/>
    </i>
    <i r="1">
      <x/>
    </i>
    <i>
      <x v="12"/>
    </i>
    <i r="1">
      <x/>
    </i>
    <i>
      <x v="13"/>
    </i>
    <i r="1">
      <x/>
    </i>
    <i>
      <x v="14"/>
    </i>
    <i r="1">
      <x/>
    </i>
    <i>
      <x v="15"/>
    </i>
    <i r="1">
      <x/>
    </i>
    <i>
      <x v="16"/>
    </i>
    <i r="1">
      <x/>
    </i>
    <i>
      <x v="17"/>
    </i>
    <i r="1">
      <x v="1"/>
    </i>
    <i>
      <x v="18"/>
    </i>
    <i r="1">
      <x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/>
    </i>
    <i>
      <x v="23"/>
    </i>
    <i r="1">
      <x/>
    </i>
    <i>
      <x v="24"/>
    </i>
    <i r="1">
      <x v="1"/>
    </i>
    <i>
      <x v="25"/>
    </i>
    <i r="1">
      <x v="1"/>
    </i>
    <i>
      <x v="26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dds_rank" fld="4" baseField="0" baseItem="0"/>
    <dataField name="Sum of actual_rank" fld="5" baseField="0" baseItem="0"/>
    <dataField name="Sum of rank_gap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tabSelected="1" topLeftCell="H1" workbookViewId="0">
      <selection activeCell="S3" sqref="S3"/>
    </sheetView>
  </sheetViews>
  <sheetFormatPr defaultRowHeight="15" x14ac:dyDescent="0.25"/>
  <cols>
    <col min="1" max="1" width="12" bestFit="1" customWidth="1"/>
    <col min="2" max="2" width="22.7109375" bestFit="1" customWidth="1"/>
    <col min="3" max="3" width="6.5703125" bestFit="1" customWidth="1"/>
    <col min="4" max="4" width="15.140625" bestFit="1" customWidth="1"/>
    <col min="5" max="5" width="10.140625" customWidth="1"/>
    <col min="6" max="6" width="11.140625" bestFit="1" customWidth="1"/>
    <col min="7" max="7" width="9" bestFit="1" customWidth="1"/>
    <col min="8" max="8" width="15.5703125" bestFit="1" customWidth="1"/>
    <col min="9" max="9" width="19.28515625" bestFit="1" customWidth="1"/>
    <col min="10" max="10" width="16.85546875" bestFit="1" customWidth="1"/>
    <col min="11" max="11" width="18" bestFit="1" customWidth="1"/>
    <col min="12" max="12" width="1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</row>
    <row r="2" spans="1:8" x14ac:dyDescent="0.25">
      <c r="A2" t="s">
        <v>7</v>
      </c>
      <c r="B2">
        <v>0.56999999999999995</v>
      </c>
      <c r="C2">
        <v>4</v>
      </c>
      <c r="D2">
        <v>6</v>
      </c>
      <c r="E2">
        <v>23</v>
      </c>
      <c r="F2">
        <v>4</v>
      </c>
      <c r="G2">
        <v>19</v>
      </c>
      <c r="H2" t="str">
        <f>IF(E2&gt;F2, "overperformer", "underperformer")</f>
        <v>overperformer</v>
      </c>
    </row>
    <row r="3" spans="1:8" x14ac:dyDescent="0.25">
      <c r="A3" t="s">
        <v>8</v>
      </c>
      <c r="B3">
        <v>1.52</v>
      </c>
      <c r="C3">
        <v>6</v>
      </c>
      <c r="D3">
        <v>3</v>
      </c>
      <c r="E3">
        <v>16</v>
      </c>
      <c r="F3">
        <v>3</v>
      </c>
      <c r="G3">
        <v>13</v>
      </c>
      <c r="H3" t="str">
        <f t="shared" ref="H3:H28" si="0">IF(E3&gt;F3, "overperformer", "underperformer")</f>
        <v>overperformer</v>
      </c>
    </row>
    <row r="4" spans="1:8" x14ac:dyDescent="0.25">
      <c r="A4" t="s">
        <v>9</v>
      </c>
      <c r="B4">
        <v>1.64</v>
      </c>
      <c r="C4">
        <v>6</v>
      </c>
      <c r="D4">
        <v>5</v>
      </c>
      <c r="E4">
        <v>13</v>
      </c>
      <c r="F4">
        <v>2</v>
      </c>
      <c r="G4">
        <v>11</v>
      </c>
      <c r="H4" t="str">
        <f t="shared" si="0"/>
        <v>overperformer</v>
      </c>
    </row>
    <row r="5" spans="1:8" x14ac:dyDescent="0.25">
      <c r="A5" t="s">
        <v>10</v>
      </c>
      <c r="B5">
        <v>1.52</v>
      </c>
      <c r="C5">
        <v>4</v>
      </c>
      <c r="D5">
        <v>3</v>
      </c>
      <c r="E5">
        <v>16</v>
      </c>
      <c r="F5">
        <v>8</v>
      </c>
      <c r="G5">
        <v>8</v>
      </c>
      <c r="H5" t="str">
        <f t="shared" si="0"/>
        <v>overperformer</v>
      </c>
    </row>
    <row r="6" spans="1:8" x14ac:dyDescent="0.25">
      <c r="A6" t="s">
        <v>11</v>
      </c>
      <c r="B6">
        <v>0.79</v>
      </c>
      <c r="C6">
        <v>3</v>
      </c>
      <c r="D6">
        <v>2</v>
      </c>
      <c r="E6">
        <v>21</v>
      </c>
      <c r="F6">
        <v>13</v>
      </c>
      <c r="G6">
        <v>8</v>
      </c>
      <c r="H6" t="str">
        <f t="shared" si="0"/>
        <v>overperformer</v>
      </c>
    </row>
    <row r="7" spans="1:8" x14ac:dyDescent="0.25">
      <c r="A7" t="s">
        <v>12</v>
      </c>
      <c r="B7">
        <v>2.17</v>
      </c>
      <c r="C7">
        <v>4</v>
      </c>
      <c r="D7">
        <v>4</v>
      </c>
      <c r="E7">
        <v>12</v>
      </c>
      <c r="F7">
        <v>5</v>
      </c>
      <c r="G7">
        <v>7</v>
      </c>
      <c r="H7" t="str">
        <f t="shared" si="0"/>
        <v>overperformer</v>
      </c>
    </row>
    <row r="8" spans="1:8" x14ac:dyDescent="0.25">
      <c r="A8" t="s">
        <v>13</v>
      </c>
      <c r="B8">
        <v>0.5</v>
      </c>
      <c r="C8">
        <v>3</v>
      </c>
      <c r="D8">
        <v>-2</v>
      </c>
      <c r="E8">
        <v>26</v>
      </c>
      <c r="F8">
        <v>19</v>
      </c>
      <c r="G8">
        <v>7</v>
      </c>
      <c r="H8" t="str">
        <f t="shared" si="0"/>
        <v>overperformer</v>
      </c>
    </row>
    <row r="9" spans="1:8" x14ac:dyDescent="0.25">
      <c r="A9" t="s">
        <v>14</v>
      </c>
      <c r="B9">
        <v>7.14</v>
      </c>
      <c r="C9">
        <v>6</v>
      </c>
      <c r="D9">
        <v>7</v>
      </c>
      <c r="E9">
        <v>7</v>
      </c>
      <c r="F9">
        <v>1</v>
      </c>
      <c r="G9">
        <v>6</v>
      </c>
      <c r="H9" t="str">
        <f t="shared" si="0"/>
        <v>overperformer</v>
      </c>
    </row>
    <row r="10" spans="1:8" x14ac:dyDescent="0.25">
      <c r="A10" t="s">
        <v>15</v>
      </c>
      <c r="B10">
        <v>0.56999999999999995</v>
      </c>
      <c r="C10">
        <v>3</v>
      </c>
      <c r="D10">
        <v>0</v>
      </c>
      <c r="E10">
        <v>23</v>
      </c>
      <c r="F10">
        <v>17</v>
      </c>
      <c r="G10">
        <v>6</v>
      </c>
      <c r="H10" t="str">
        <f t="shared" si="0"/>
        <v>overperformer</v>
      </c>
    </row>
    <row r="11" spans="1:8" x14ac:dyDescent="0.25">
      <c r="A11" t="s">
        <v>16</v>
      </c>
      <c r="B11">
        <v>0.56999999999999995</v>
      </c>
      <c r="C11">
        <v>3</v>
      </c>
      <c r="D11">
        <v>0</v>
      </c>
      <c r="E11">
        <v>23</v>
      </c>
      <c r="F11">
        <v>17</v>
      </c>
      <c r="G11">
        <v>6</v>
      </c>
      <c r="H11" t="str">
        <f>IF(E11&gt;F11, "overperformer", "underperformer")</f>
        <v>overperformer</v>
      </c>
    </row>
    <row r="12" spans="1:8" x14ac:dyDescent="0.25">
      <c r="A12" t="s">
        <v>17</v>
      </c>
      <c r="B12">
        <v>0.4</v>
      </c>
      <c r="C12">
        <v>1</v>
      </c>
      <c r="D12">
        <v>0</v>
      </c>
      <c r="E12">
        <v>27</v>
      </c>
      <c r="F12">
        <v>22</v>
      </c>
      <c r="G12">
        <v>5</v>
      </c>
      <c r="H12" t="str">
        <f t="shared" si="0"/>
        <v>overperformer</v>
      </c>
    </row>
    <row r="13" spans="1:8" x14ac:dyDescent="0.25">
      <c r="A13" t="s">
        <v>18</v>
      </c>
      <c r="B13">
        <v>5.88</v>
      </c>
      <c r="C13">
        <v>4</v>
      </c>
      <c r="D13">
        <v>4</v>
      </c>
      <c r="E13">
        <v>8</v>
      </c>
      <c r="F13">
        <v>5</v>
      </c>
      <c r="G13">
        <v>3</v>
      </c>
      <c r="H13" t="str">
        <f t="shared" si="0"/>
        <v>overperformer</v>
      </c>
    </row>
    <row r="14" spans="1:8" x14ac:dyDescent="0.25">
      <c r="A14" t="s">
        <v>19</v>
      </c>
      <c r="B14">
        <v>1.64</v>
      </c>
      <c r="C14">
        <v>4</v>
      </c>
      <c r="D14">
        <v>1</v>
      </c>
      <c r="E14">
        <v>13</v>
      </c>
      <c r="F14">
        <v>10</v>
      </c>
      <c r="G14">
        <v>3</v>
      </c>
      <c r="H14" t="str">
        <f t="shared" si="0"/>
        <v>overperformer</v>
      </c>
    </row>
    <row r="15" spans="1:8" x14ac:dyDescent="0.25">
      <c r="A15" t="s">
        <v>20</v>
      </c>
      <c r="B15">
        <v>2.78</v>
      </c>
      <c r="C15">
        <v>3</v>
      </c>
      <c r="D15">
        <v>3</v>
      </c>
      <c r="E15">
        <v>10</v>
      </c>
      <c r="F15">
        <v>11</v>
      </c>
      <c r="G15">
        <v>-1</v>
      </c>
      <c r="H15" t="str">
        <f t="shared" si="0"/>
        <v>underperformer</v>
      </c>
    </row>
    <row r="16" spans="1:8" x14ac:dyDescent="0.25">
      <c r="A16" t="s">
        <v>21</v>
      </c>
      <c r="B16">
        <v>2.44</v>
      </c>
      <c r="C16">
        <v>3</v>
      </c>
      <c r="D16">
        <v>2</v>
      </c>
      <c r="E16">
        <v>11</v>
      </c>
      <c r="F16">
        <v>13</v>
      </c>
      <c r="G16">
        <v>-2</v>
      </c>
      <c r="H16" t="str">
        <f t="shared" si="0"/>
        <v>underperformer</v>
      </c>
    </row>
    <row r="17" spans="1:12" x14ac:dyDescent="0.25">
      <c r="A17" t="s">
        <v>22</v>
      </c>
      <c r="B17">
        <v>19.23</v>
      </c>
      <c r="C17">
        <v>4</v>
      </c>
      <c r="D17">
        <v>4</v>
      </c>
      <c r="E17">
        <v>1</v>
      </c>
      <c r="F17">
        <v>5</v>
      </c>
      <c r="G17">
        <v>-4</v>
      </c>
      <c r="H17" t="str">
        <f t="shared" si="0"/>
        <v>underperformer</v>
      </c>
    </row>
    <row r="18" spans="1:12" x14ac:dyDescent="0.25">
      <c r="A18" t="s">
        <v>23</v>
      </c>
      <c r="B18">
        <v>10.53</v>
      </c>
      <c r="C18">
        <v>4</v>
      </c>
      <c r="D18">
        <v>3</v>
      </c>
      <c r="E18">
        <v>4</v>
      </c>
      <c r="F18">
        <v>8</v>
      </c>
      <c r="G18">
        <v>-4</v>
      </c>
      <c r="H18" t="str">
        <f t="shared" si="0"/>
        <v>underperformer</v>
      </c>
    </row>
    <row r="19" spans="1:12" x14ac:dyDescent="0.25">
      <c r="A19" t="s">
        <v>24</v>
      </c>
      <c r="B19">
        <v>0.99</v>
      </c>
      <c r="C19">
        <v>1</v>
      </c>
      <c r="D19">
        <v>-1</v>
      </c>
      <c r="E19">
        <v>20</v>
      </c>
      <c r="F19">
        <v>24</v>
      </c>
      <c r="G19">
        <v>-4</v>
      </c>
      <c r="H19" t="str">
        <f t="shared" si="0"/>
        <v>underperformer</v>
      </c>
    </row>
    <row r="20" spans="1:12" x14ac:dyDescent="0.25">
      <c r="A20" t="s">
        <v>25</v>
      </c>
      <c r="B20">
        <v>0.79</v>
      </c>
      <c r="C20">
        <v>0</v>
      </c>
      <c r="D20">
        <v>-2</v>
      </c>
      <c r="E20">
        <v>21</v>
      </c>
      <c r="F20">
        <v>25</v>
      </c>
      <c r="G20">
        <v>-4</v>
      </c>
      <c r="H20" t="str">
        <f t="shared" si="0"/>
        <v>underperformer</v>
      </c>
    </row>
    <row r="21" spans="1:12" x14ac:dyDescent="0.25">
      <c r="A21" t="s">
        <v>26</v>
      </c>
      <c r="B21">
        <v>9.09</v>
      </c>
      <c r="C21">
        <v>3</v>
      </c>
      <c r="D21">
        <v>3</v>
      </c>
      <c r="E21">
        <v>5</v>
      </c>
      <c r="F21">
        <v>11</v>
      </c>
      <c r="G21">
        <v>-6</v>
      </c>
      <c r="H21" t="str">
        <f t="shared" si="0"/>
        <v>underperformer</v>
      </c>
    </row>
    <row r="22" spans="1:12" x14ac:dyDescent="0.25">
      <c r="A22" t="s">
        <v>27</v>
      </c>
      <c r="B22">
        <v>1.64</v>
      </c>
      <c r="C22">
        <v>2</v>
      </c>
      <c r="D22">
        <v>0</v>
      </c>
      <c r="E22">
        <v>13</v>
      </c>
      <c r="F22">
        <v>20</v>
      </c>
      <c r="G22">
        <v>-7</v>
      </c>
      <c r="H22" t="str">
        <f t="shared" si="0"/>
        <v>underperformer</v>
      </c>
    </row>
    <row r="23" spans="1:12" x14ac:dyDescent="0.25">
      <c r="A23" t="s">
        <v>28</v>
      </c>
      <c r="B23">
        <v>1.41</v>
      </c>
      <c r="C23">
        <v>0</v>
      </c>
      <c r="D23">
        <v>-2</v>
      </c>
      <c r="E23">
        <v>18</v>
      </c>
      <c r="F23">
        <v>25</v>
      </c>
      <c r="G23">
        <v>-7</v>
      </c>
      <c r="H23" t="str">
        <f t="shared" si="0"/>
        <v>underperformer</v>
      </c>
    </row>
    <row r="24" spans="1:12" x14ac:dyDescent="0.25">
      <c r="A24" t="s">
        <v>29</v>
      </c>
      <c r="B24">
        <v>1.23</v>
      </c>
      <c r="C24">
        <v>0</v>
      </c>
      <c r="D24">
        <v>-3</v>
      </c>
      <c r="E24">
        <v>19</v>
      </c>
      <c r="F24">
        <v>27</v>
      </c>
      <c r="G24">
        <v>-8</v>
      </c>
      <c r="H24" t="str">
        <f t="shared" si="0"/>
        <v>underperformer</v>
      </c>
      <c r="I24" s="1" t="s">
        <v>34</v>
      </c>
      <c r="J24" t="s">
        <v>36</v>
      </c>
      <c r="K24" t="s">
        <v>37</v>
      </c>
      <c r="L24" t="s">
        <v>38</v>
      </c>
    </row>
    <row r="25" spans="1:12" x14ac:dyDescent="0.25">
      <c r="A25" t="s">
        <v>30</v>
      </c>
      <c r="B25">
        <v>13.33</v>
      </c>
      <c r="C25">
        <v>3</v>
      </c>
      <c r="D25">
        <v>2</v>
      </c>
      <c r="E25">
        <v>3</v>
      </c>
      <c r="F25">
        <v>13</v>
      </c>
      <c r="G25">
        <v>-10</v>
      </c>
      <c r="H25" t="str">
        <f t="shared" si="0"/>
        <v>underperformer</v>
      </c>
      <c r="I25" s="2" t="s">
        <v>26</v>
      </c>
      <c r="J25" s="3">
        <v>5</v>
      </c>
      <c r="K25" s="3">
        <v>11</v>
      </c>
      <c r="L25" s="3">
        <v>-6</v>
      </c>
    </row>
    <row r="26" spans="1:12" x14ac:dyDescent="0.25">
      <c r="A26" t="s">
        <v>31</v>
      </c>
      <c r="B26">
        <v>17.86</v>
      </c>
      <c r="C26">
        <v>3</v>
      </c>
      <c r="D26">
        <v>2</v>
      </c>
      <c r="E26">
        <v>2</v>
      </c>
      <c r="F26">
        <v>13</v>
      </c>
      <c r="G26">
        <v>-11</v>
      </c>
      <c r="H26" t="str">
        <f t="shared" si="0"/>
        <v>underperformer</v>
      </c>
      <c r="I26" s="4" t="s">
        <v>40</v>
      </c>
      <c r="J26" s="3">
        <v>5</v>
      </c>
      <c r="K26" s="3">
        <v>11</v>
      </c>
      <c r="L26" s="3">
        <v>-6</v>
      </c>
    </row>
    <row r="27" spans="1:12" x14ac:dyDescent="0.25">
      <c r="A27" t="s">
        <v>32</v>
      </c>
      <c r="B27">
        <v>4.3499999999999996</v>
      </c>
      <c r="C27">
        <v>2</v>
      </c>
      <c r="D27">
        <v>0</v>
      </c>
      <c r="E27">
        <v>9</v>
      </c>
      <c r="F27">
        <v>20</v>
      </c>
      <c r="G27">
        <v>-11</v>
      </c>
      <c r="H27" t="str">
        <f t="shared" si="0"/>
        <v>underperformer</v>
      </c>
      <c r="I27" s="2" t="s">
        <v>11</v>
      </c>
      <c r="J27" s="3">
        <v>21</v>
      </c>
      <c r="K27" s="3">
        <v>13</v>
      </c>
      <c r="L27" s="3">
        <v>8</v>
      </c>
    </row>
    <row r="28" spans="1:12" x14ac:dyDescent="0.25">
      <c r="A28" t="s">
        <v>33</v>
      </c>
      <c r="B28">
        <v>9.09</v>
      </c>
      <c r="C28">
        <v>1</v>
      </c>
      <c r="D28">
        <v>0</v>
      </c>
      <c r="E28">
        <v>5</v>
      </c>
      <c r="F28">
        <v>22</v>
      </c>
      <c r="G28">
        <v>-17</v>
      </c>
      <c r="H28" t="str">
        <f t="shared" si="0"/>
        <v>underperformer</v>
      </c>
      <c r="I28" s="4" t="s">
        <v>41</v>
      </c>
      <c r="J28" s="3">
        <v>21</v>
      </c>
      <c r="K28" s="3">
        <v>13</v>
      </c>
      <c r="L28" s="3">
        <v>8</v>
      </c>
    </row>
    <row r="29" spans="1:12" x14ac:dyDescent="0.25">
      <c r="I29" s="2" t="s">
        <v>32</v>
      </c>
      <c r="J29" s="3">
        <v>9</v>
      </c>
      <c r="K29" s="3">
        <v>20</v>
      </c>
      <c r="L29" s="3">
        <v>-11</v>
      </c>
    </row>
    <row r="30" spans="1:12" x14ac:dyDescent="0.25">
      <c r="I30" s="4" t="s">
        <v>40</v>
      </c>
      <c r="J30" s="3">
        <v>9</v>
      </c>
      <c r="K30" s="3">
        <v>20</v>
      </c>
      <c r="L30" s="3">
        <v>-11</v>
      </c>
    </row>
    <row r="31" spans="1:12" x14ac:dyDescent="0.25">
      <c r="I31" s="2" t="s">
        <v>23</v>
      </c>
      <c r="J31" s="3">
        <v>4</v>
      </c>
      <c r="K31" s="3">
        <v>8</v>
      </c>
      <c r="L31" s="3">
        <v>-4</v>
      </c>
    </row>
    <row r="32" spans="1:12" x14ac:dyDescent="0.25">
      <c r="I32" s="4" t="s">
        <v>40</v>
      </c>
      <c r="J32" s="3">
        <v>4</v>
      </c>
      <c r="K32" s="3">
        <v>8</v>
      </c>
      <c r="L32" s="3">
        <v>-4</v>
      </c>
    </row>
    <row r="33" spans="9:12" x14ac:dyDescent="0.25">
      <c r="I33" s="2" t="s">
        <v>7</v>
      </c>
      <c r="J33" s="3">
        <v>23</v>
      </c>
      <c r="K33" s="3">
        <v>4</v>
      </c>
      <c r="L33" s="3">
        <v>19</v>
      </c>
    </row>
    <row r="34" spans="9:12" x14ac:dyDescent="0.25">
      <c r="I34" s="4" t="s">
        <v>41</v>
      </c>
      <c r="J34" s="3">
        <v>23</v>
      </c>
      <c r="K34" s="3">
        <v>4</v>
      </c>
      <c r="L34" s="3">
        <v>19</v>
      </c>
    </row>
    <row r="35" spans="9:12" x14ac:dyDescent="0.25">
      <c r="I35" s="2" t="s">
        <v>21</v>
      </c>
      <c r="J35" s="3">
        <v>11</v>
      </c>
      <c r="K35" s="3">
        <v>13</v>
      </c>
      <c r="L35" s="3">
        <v>-2</v>
      </c>
    </row>
    <row r="36" spans="9:12" x14ac:dyDescent="0.25">
      <c r="I36" s="4" t="s">
        <v>40</v>
      </c>
      <c r="J36" s="3">
        <v>11</v>
      </c>
      <c r="K36" s="3">
        <v>13</v>
      </c>
      <c r="L36" s="3">
        <v>-2</v>
      </c>
    </row>
    <row r="37" spans="9:12" x14ac:dyDescent="0.25">
      <c r="I37" s="2" t="s">
        <v>28</v>
      </c>
      <c r="J37" s="3">
        <v>18</v>
      </c>
      <c r="K37" s="3">
        <v>25</v>
      </c>
      <c r="L37" s="3">
        <v>-7</v>
      </c>
    </row>
    <row r="38" spans="9:12" x14ac:dyDescent="0.25">
      <c r="I38" s="4" t="s">
        <v>40</v>
      </c>
      <c r="J38" s="3">
        <v>18</v>
      </c>
      <c r="K38" s="3">
        <v>25</v>
      </c>
      <c r="L38" s="3">
        <v>-7</v>
      </c>
    </row>
    <row r="39" spans="9:12" x14ac:dyDescent="0.25">
      <c r="I39" s="2" t="s">
        <v>24</v>
      </c>
      <c r="J39" s="3">
        <v>20</v>
      </c>
      <c r="K39" s="3">
        <v>24</v>
      </c>
      <c r="L39" s="3">
        <v>-4</v>
      </c>
    </row>
    <row r="40" spans="9:12" x14ac:dyDescent="0.25">
      <c r="I40" s="4" t="s">
        <v>40</v>
      </c>
      <c r="J40" s="3">
        <v>20</v>
      </c>
      <c r="K40" s="3">
        <v>24</v>
      </c>
      <c r="L40" s="3">
        <v>-4</v>
      </c>
    </row>
    <row r="41" spans="9:12" x14ac:dyDescent="0.25">
      <c r="I41" s="2" t="s">
        <v>17</v>
      </c>
      <c r="J41" s="3">
        <v>27</v>
      </c>
      <c r="K41" s="3">
        <v>22</v>
      </c>
      <c r="L41" s="3">
        <v>5</v>
      </c>
    </row>
    <row r="42" spans="9:12" x14ac:dyDescent="0.25">
      <c r="I42" s="4" t="s">
        <v>41</v>
      </c>
      <c r="J42" s="3">
        <v>27</v>
      </c>
      <c r="K42" s="3">
        <v>22</v>
      </c>
      <c r="L42" s="3">
        <v>5</v>
      </c>
    </row>
    <row r="43" spans="9:12" x14ac:dyDescent="0.25">
      <c r="I43" s="2" t="s">
        <v>30</v>
      </c>
      <c r="J43" s="3">
        <v>3</v>
      </c>
      <c r="K43" s="3">
        <v>13</v>
      </c>
      <c r="L43" s="3">
        <v>-10</v>
      </c>
    </row>
    <row r="44" spans="9:12" x14ac:dyDescent="0.25">
      <c r="I44" s="4" t="s">
        <v>40</v>
      </c>
      <c r="J44" s="3">
        <v>3</v>
      </c>
      <c r="K44" s="3">
        <v>13</v>
      </c>
      <c r="L44" s="3">
        <v>-10</v>
      </c>
    </row>
    <row r="45" spans="9:12" x14ac:dyDescent="0.25">
      <c r="I45" s="2" t="s">
        <v>31</v>
      </c>
      <c r="J45" s="3">
        <v>2</v>
      </c>
      <c r="K45" s="3">
        <v>13</v>
      </c>
      <c r="L45" s="3">
        <v>-11</v>
      </c>
    </row>
    <row r="46" spans="9:12" x14ac:dyDescent="0.25">
      <c r="I46" s="4" t="s">
        <v>40</v>
      </c>
      <c r="J46" s="3">
        <v>2</v>
      </c>
      <c r="K46" s="3">
        <v>13</v>
      </c>
      <c r="L46" s="3">
        <v>-11</v>
      </c>
    </row>
    <row r="47" spans="9:12" x14ac:dyDescent="0.25">
      <c r="I47" s="2" t="s">
        <v>14</v>
      </c>
      <c r="J47" s="3">
        <v>7</v>
      </c>
      <c r="K47" s="3">
        <v>1</v>
      </c>
      <c r="L47" s="3">
        <v>6</v>
      </c>
    </row>
    <row r="48" spans="9:12" x14ac:dyDescent="0.25">
      <c r="I48" s="4" t="s">
        <v>41</v>
      </c>
      <c r="J48" s="3">
        <v>7</v>
      </c>
      <c r="K48" s="3">
        <v>1</v>
      </c>
      <c r="L48" s="3">
        <v>6</v>
      </c>
    </row>
    <row r="49" spans="9:12" x14ac:dyDescent="0.25">
      <c r="I49" s="2" t="s">
        <v>16</v>
      </c>
      <c r="J49" s="3">
        <v>23</v>
      </c>
      <c r="K49" s="3">
        <v>17</v>
      </c>
      <c r="L49" s="3">
        <v>6</v>
      </c>
    </row>
    <row r="50" spans="9:12" x14ac:dyDescent="0.25">
      <c r="I50" s="4" t="s">
        <v>41</v>
      </c>
      <c r="J50" s="3">
        <v>23</v>
      </c>
      <c r="K50" s="3">
        <v>17</v>
      </c>
      <c r="L50" s="3">
        <v>6</v>
      </c>
    </row>
    <row r="51" spans="9:12" x14ac:dyDescent="0.25">
      <c r="I51" s="2" t="s">
        <v>12</v>
      </c>
      <c r="J51" s="3">
        <v>12</v>
      </c>
      <c r="K51" s="3">
        <v>5</v>
      </c>
      <c r="L51" s="3">
        <v>7</v>
      </c>
    </row>
    <row r="52" spans="9:12" x14ac:dyDescent="0.25">
      <c r="I52" s="4" t="s">
        <v>41</v>
      </c>
      <c r="J52" s="3">
        <v>12</v>
      </c>
      <c r="K52" s="3">
        <v>5</v>
      </c>
      <c r="L52" s="3">
        <v>7</v>
      </c>
    </row>
    <row r="53" spans="9:12" x14ac:dyDescent="0.25">
      <c r="I53" s="2" t="s">
        <v>8</v>
      </c>
      <c r="J53" s="3">
        <v>16</v>
      </c>
      <c r="K53" s="3">
        <v>3</v>
      </c>
      <c r="L53" s="3">
        <v>13</v>
      </c>
    </row>
    <row r="54" spans="9:12" x14ac:dyDescent="0.25">
      <c r="I54" s="4" t="s">
        <v>41</v>
      </c>
      <c r="J54" s="3">
        <v>16</v>
      </c>
      <c r="K54" s="3">
        <v>3</v>
      </c>
      <c r="L54" s="3">
        <v>13</v>
      </c>
    </row>
    <row r="55" spans="9:12" x14ac:dyDescent="0.25">
      <c r="I55" s="2" t="s">
        <v>19</v>
      </c>
      <c r="J55" s="3">
        <v>13</v>
      </c>
      <c r="K55" s="3">
        <v>10</v>
      </c>
      <c r="L55" s="3">
        <v>3</v>
      </c>
    </row>
    <row r="56" spans="9:12" x14ac:dyDescent="0.25">
      <c r="I56" s="4" t="s">
        <v>41</v>
      </c>
      <c r="J56" s="3">
        <v>13</v>
      </c>
      <c r="K56" s="3">
        <v>10</v>
      </c>
      <c r="L56" s="3">
        <v>3</v>
      </c>
    </row>
    <row r="57" spans="9:12" x14ac:dyDescent="0.25">
      <c r="I57" s="2" t="s">
        <v>18</v>
      </c>
      <c r="J57" s="3">
        <v>8</v>
      </c>
      <c r="K57" s="3">
        <v>5</v>
      </c>
      <c r="L57" s="3">
        <v>3</v>
      </c>
    </row>
    <row r="58" spans="9:12" x14ac:dyDescent="0.25">
      <c r="I58" s="4" t="s">
        <v>41</v>
      </c>
      <c r="J58" s="3">
        <v>8</v>
      </c>
      <c r="K58" s="3">
        <v>5</v>
      </c>
      <c r="L58" s="3">
        <v>3</v>
      </c>
    </row>
    <row r="59" spans="9:12" x14ac:dyDescent="0.25">
      <c r="I59" s="2" t="s">
        <v>20</v>
      </c>
      <c r="J59" s="3">
        <v>10</v>
      </c>
      <c r="K59" s="3">
        <v>11</v>
      </c>
      <c r="L59" s="3">
        <v>-1</v>
      </c>
    </row>
    <row r="60" spans="9:12" x14ac:dyDescent="0.25">
      <c r="I60" s="4" t="s">
        <v>40</v>
      </c>
      <c r="J60" s="3">
        <v>10</v>
      </c>
      <c r="K60" s="3">
        <v>11</v>
      </c>
      <c r="L60" s="3">
        <v>-1</v>
      </c>
    </row>
    <row r="61" spans="9:12" x14ac:dyDescent="0.25">
      <c r="I61" s="2" t="s">
        <v>13</v>
      </c>
      <c r="J61" s="3">
        <v>26</v>
      </c>
      <c r="K61" s="3">
        <v>19</v>
      </c>
      <c r="L61" s="3">
        <v>7</v>
      </c>
    </row>
    <row r="62" spans="9:12" x14ac:dyDescent="0.25">
      <c r="I62" s="4" t="s">
        <v>41</v>
      </c>
      <c r="J62" s="3">
        <v>26</v>
      </c>
      <c r="K62" s="3">
        <v>19</v>
      </c>
      <c r="L62" s="3">
        <v>7</v>
      </c>
    </row>
    <row r="63" spans="9:12" x14ac:dyDescent="0.25">
      <c r="I63" s="2" t="s">
        <v>33</v>
      </c>
      <c r="J63" s="3">
        <v>5</v>
      </c>
      <c r="K63" s="3">
        <v>22</v>
      </c>
      <c r="L63" s="3">
        <v>-17</v>
      </c>
    </row>
    <row r="64" spans="9:12" x14ac:dyDescent="0.25">
      <c r="I64" s="4" t="s">
        <v>40</v>
      </c>
      <c r="J64" s="3">
        <v>5</v>
      </c>
      <c r="K64" s="3">
        <v>22</v>
      </c>
      <c r="L64" s="3">
        <v>-17</v>
      </c>
    </row>
    <row r="65" spans="9:12" x14ac:dyDescent="0.25">
      <c r="I65" s="2" t="s">
        <v>25</v>
      </c>
      <c r="J65" s="3">
        <v>21</v>
      </c>
      <c r="K65" s="3">
        <v>25</v>
      </c>
      <c r="L65" s="3">
        <v>-4</v>
      </c>
    </row>
    <row r="66" spans="9:12" x14ac:dyDescent="0.25">
      <c r="I66" s="4" t="s">
        <v>40</v>
      </c>
      <c r="J66" s="3">
        <v>21</v>
      </c>
      <c r="K66" s="3">
        <v>25</v>
      </c>
      <c r="L66" s="3">
        <v>-4</v>
      </c>
    </row>
    <row r="67" spans="9:12" x14ac:dyDescent="0.25">
      <c r="I67" s="2" t="s">
        <v>22</v>
      </c>
      <c r="J67" s="3">
        <v>1</v>
      </c>
      <c r="K67" s="3">
        <v>5</v>
      </c>
      <c r="L67" s="3">
        <v>-4</v>
      </c>
    </row>
    <row r="68" spans="9:12" x14ac:dyDescent="0.25">
      <c r="I68" s="4" t="s">
        <v>40</v>
      </c>
      <c r="J68" s="3">
        <v>1</v>
      </c>
      <c r="K68" s="3">
        <v>5</v>
      </c>
      <c r="L68" s="3">
        <v>-4</v>
      </c>
    </row>
    <row r="69" spans="9:12" x14ac:dyDescent="0.25">
      <c r="I69" s="2" t="s">
        <v>15</v>
      </c>
      <c r="J69" s="3">
        <v>23</v>
      </c>
      <c r="K69" s="3">
        <v>17</v>
      </c>
      <c r="L69" s="3">
        <v>6</v>
      </c>
    </row>
    <row r="70" spans="9:12" x14ac:dyDescent="0.25">
      <c r="I70" s="4" t="s">
        <v>41</v>
      </c>
      <c r="J70" s="3">
        <v>23</v>
      </c>
      <c r="K70" s="3">
        <v>17</v>
      </c>
      <c r="L70" s="3">
        <v>6</v>
      </c>
    </row>
    <row r="71" spans="9:12" x14ac:dyDescent="0.25">
      <c r="I71" s="2" t="s">
        <v>10</v>
      </c>
      <c r="J71" s="3">
        <v>16</v>
      </c>
      <c r="K71" s="3">
        <v>8</v>
      </c>
      <c r="L71" s="3">
        <v>8</v>
      </c>
    </row>
    <row r="72" spans="9:12" x14ac:dyDescent="0.25">
      <c r="I72" s="4" t="s">
        <v>41</v>
      </c>
      <c r="J72" s="3">
        <v>16</v>
      </c>
      <c r="K72" s="3">
        <v>8</v>
      </c>
      <c r="L72" s="3">
        <v>8</v>
      </c>
    </row>
    <row r="73" spans="9:12" x14ac:dyDescent="0.25">
      <c r="I73" s="2" t="s">
        <v>29</v>
      </c>
      <c r="J73" s="3">
        <v>19</v>
      </c>
      <c r="K73" s="3">
        <v>27</v>
      </c>
      <c r="L73" s="3">
        <v>-8</v>
      </c>
    </row>
    <row r="74" spans="9:12" x14ac:dyDescent="0.25">
      <c r="I74" s="4" t="s">
        <v>40</v>
      </c>
      <c r="J74" s="3">
        <v>19</v>
      </c>
      <c r="K74" s="3">
        <v>27</v>
      </c>
      <c r="L74" s="3">
        <v>-8</v>
      </c>
    </row>
    <row r="75" spans="9:12" x14ac:dyDescent="0.25">
      <c r="I75" s="2" t="s">
        <v>27</v>
      </c>
      <c r="J75" s="3">
        <v>13</v>
      </c>
      <c r="K75" s="3">
        <v>20</v>
      </c>
      <c r="L75" s="3">
        <v>-7</v>
      </c>
    </row>
    <row r="76" spans="9:12" x14ac:dyDescent="0.25">
      <c r="I76" s="4" t="s">
        <v>40</v>
      </c>
      <c r="J76" s="3">
        <v>13</v>
      </c>
      <c r="K76" s="3">
        <v>20</v>
      </c>
      <c r="L76" s="3">
        <v>-7</v>
      </c>
    </row>
    <row r="77" spans="9:12" x14ac:dyDescent="0.25">
      <c r="I77" s="2" t="s">
        <v>9</v>
      </c>
      <c r="J77" s="3">
        <v>13</v>
      </c>
      <c r="K77" s="3">
        <v>2</v>
      </c>
      <c r="L77" s="3">
        <v>11</v>
      </c>
    </row>
    <row r="78" spans="9:12" x14ac:dyDescent="0.25">
      <c r="I78" s="4" t="s">
        <v>41</v>
      </c>
      <c r="J78" s="3">
        <v>13</v>
      </c>
      <c r="K78" s="3">
        <v>2</v>
      </c>
      <c r="L78" s="3">
        <v>11</v>
      </c>
    </row>
    <row r="79" spans="9:12" x14ac:dyDescent="0.25">
      <c r="I79" s="2" t="s">
        <v>35</v>
      </c>
      <c r="J79" s="3">
        <v>369</v>
      </c>
      <c r="K79" s="3">
        <v>363</v>
      </c>
      <c r="L79" s="3">
        <v>6</v>
      </c>
    </row>
  </sheetData>
  <conditionalFormatting sqref="H2:H28">
    <cfRule type="containsText" dxfId="1" priority="2" operator="containsText" text="Overperformer">
      <formula>NOT(ISERROR(SEARCH("Overperformer",H2)))</formula>
    </cfRule>
  </conditionalFormatting>
  <conditionalFormatting sqref="H11:H28">
    <cfRule type="containsText" dxfId="0" priority="1" operator="containsText" text="underperformer">
      <formula>NOT(ISERROR(SEARCH("underperformer",H11)))</formula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odds vs actual gap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Awoniran</dc:creator>
  <cp:lastModifiedBy>owner</cp:lastModifiedBy>
  <dcterms:created xsi:type="dcterms:W3CDTF">2026-06-23T17:05:51Z</dcterms:created>
  <dcterms:modified xsi:type="dcterms:W3CDTF">2026-06-23T17:09:04Z</dcterms:modified>
</cp:coreProperties>
</file>